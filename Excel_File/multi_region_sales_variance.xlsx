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Spare PC\Desktop\"/>
    </mc:Choice>
  </mc:AlternateContent>
  <xr:revisionPtr revIDLastSave="0" documentId="13_ncr:1_{AAD46FA7-F3CC-4727-80FB-117975D7D6FB}" xr6:coauthVersionLast="47" xr6:coauthVersionMax="47" xr10:uidLastSave="{00000000-0000-0000-0000-000000000000}"/>
  <bookViews>
    <workbookView xWindow="-108" yWindow="-108" windowWidth="23256" windowHeight="12456" xr2:uid="{0A9A108B-687F-4219-BECA-7BD4165D2F8F}"/>
  </bookViews>
  <sheets>
    <sheet name="Pivot_Region" sheetId="2" r:id="rId1"/>
    <sheet name="Pivot_Quarter" sheetId="3" r:id="rId2"/>
    <sheet name="Dashboard" sheetId="4" r:id="rId3"/>
    <sheet name="Raw_Data" sheetId="1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3" i="1"/>
  <c r="I4" i="1"/>
  <c r="I5" i="1"/>
  <c r="I6" i="1"/>
  <c r="I7" i="1"/>
  <c r="I8" i="1"/>
  <c r="I9" i="1"/>
  <c r="H3" i="1"/>
  <c r="H4" i="1"/>
  <c r="H5" i="1"/>
  <c r="H6" i="1"/>
  <c r="H7" i="1"/>
  <c r="H8" i="1"/>
  <c r="H9" i="1"/>
  <c r="I2" i="1"/>
</calcChain>
</file>

<file path=xl/sharedStrings.xml><?xml version="1.0" encoding="utf-8"?>
<sst xmlns="http://schemas.openxmlformats.org/spreadsheetml/2006/main" count="48" uniqueCount="25">
  <si>
    <t>Region</t>
  </si>
  <si>
    <t>Client</t>
  </si>
  <si>
    <t>Quarter</t>
  </si>
  <si>
    <t>Sales_Target</t>
  </si>
  <si>
    <t>Actual_Sales</t>
  </si>
  <si>
    <t>Previous_Quarter_Sales</t>
  </si>
  <si>
    <t>Date</t>
  </si>
  <si>
    <t>North</t>
  </si>
  <si>
    <t>Client A</t>
  </si>
  <si>
    <t>Q1</t>
  </si>
  <si>
    <t>South</t>
  </si>
  <si>
    <t>East</t>
  </si>
  <si>
    <t>West</t>
  </si>
  <si>
    <t>Client B</t>
  </si>
  <si>
    <t>Client C</t>
  </si>
  <si>
    <t>Client D</t>
  </si>
  <si>
    <t>Q2</t>
  </si>
  <si>
    <t>Variance_vs_Target</t>
  </si>
  <si>
    <t>Variance_vs_Previous</t>
  </si>
  <si>
    <t>Row Labels</t>
  </si>
  <si>
    <t>Grand Total</t>
  </si>
  <si>
    <t>Sum of Actual_Sales</t>
  </si>
  <si>
    <t>Sum of Sales_Target</t>
  </si>
  <si>
    <t>Sum of Variance_vs_Target</t>
  </si>
  <si>
    <t>Multi-Region Sales Variance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</si>
</sst>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[multi_region_sales_variance.xlsx]Pivot_Quarter!PivotTable2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Pivot_Quarter!$E$2</c:f>
              <c:strCache>
                <c:ptCount val="1"/>
                <c:pt idx="0">
                  <c:v>Sum of Actual_Sales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Pivot_Quarter!$D$3:$D$5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Pivot_Quarter!$E$3:$E$5</c:f>
              <c:numCache>
                <c:formatCode>General</c:formatCode>
                <c:ptCount val="2"/>
                <c:pt idx="0">
                  <c:v>1860000</c:v>
                </c:pt>
                <c:pt idx="1">
                  <c:v>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F-4300-A580-8BFA6C908F83}"/>
            </c:ext>
          </c:extLst>
        </c:ser>
        <c:ser>
          <c:idx val="1"/>
          <c:order val="1"/>
          <c:tx>
            <c:strRef>
              <c:f>Pivot_Quarter!$F$2</c:f>
              <c:strCache>
                <c:ptCount val="1"/>
                <c:pt idx="0">
                  <c:v>Sum of Variance_vs_Target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Pivot_Quarter!$D$3:$D$5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Pivot_Quarter!$F$3:$F$5</c:f>
              <c:numCache>
                <c:formatCode>General</c:formatCode>
                <c:ptCount val="2"/>
                <c:pt idx="0">
                  <c:v>60000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F-4300-A580-8BFA6C908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359168"/>
        <c:axId val="1996369248"/>
      </c:lineChart>
      <c:catAx>
        <c:axId val="199635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69248"/>
        <c:crosses val="autoZero"/>
        <c:auto val="1"/>
        <c:lblAlgn val="ctr"/>
        <c:lblOffset val="100"/>
        <c:noMultiLvlLbl val="0"/>
      </c:catAx>
      <c:valAx>
        <c:axId val="199636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5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[multi_region_sales_variance.xlsx]Pivot_Region!PivotTable1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Pivot_Region!$E$3</c:f>
              <c:strCache>
                <c:ptCount val="1"/>
                <c:pt idx="0">
                  <c:v>Sum of Actual_Sales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Pivot_Region!$E$4:$E$8</c:f>
              <c:numCache>
                <c:formatCode>General</c:formatCode>
                <c:ptCount val="4"/>
                <c:pt idx="0">
                  <c:v>650000</c:v>
                </c:pt>
                <c:pt idx="1">
                  <c:v>1080000</c:v>
                </c:pt>
                <c:pt idx="2">
                  <c:v>850000</c:v>
                </c:pt>
                <c:pt idx="3">
                  <c:v>1280000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6-4F9B-BEBD-A00714E780D1}"/>
            </c:ext>
          </c:extLst>
        </c:ser>
        <c:ser>
          <c:idx val="1"/>
          <c:order val="1"/>
          <c:tx>
            <c:strRef>
              <c:f>Pivot_Region!$F$3</c:f>
              <c:strCache>
                <c:ptCount val="1"/>
                <c:pt idx="0">
                  <c:v>Sum of Sales_Target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Pivot_Region!$D$4:$D$8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Pivot_Region!$F$4:$F$8</c:f>
              <c:numCache>
                <c:formatCode>General</c:formatCode>
                <c:ptCount val="4"/>
                <c:pt idx="0">
                  <c:v>650000</c:v>
                </c:pt>
                <c:pt idx="1">
                  <c:v>1050000</c:v>
                </c:pt>
                <c:pt idx="2">
                  <c:v>850000</c:v>
                </c:pt>
                <c:pt idx="3">
                  <c:v>1250000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6-4F9B-BEBD-A00714E78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365408"/>
        <c:axId val="1996349568"/>
      </c:barChart>
      <c:catAx>
        <c:axId val="199636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49568"/>
        <c:crosses val="autoZero"/>
        <c:auto val="1"/>
        <c:lblAlgn val="ctr"/>
        <c:lblOffset val="100"/>
        <c:noMultiLvlLbl val="0"/>
      </c:catAx>
      <c:valAx>
        <c:axId val="19963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6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5</xdr:row>
      <xdr:rowOff>76200</xdr:rowOff>
    </xdr:from>
    <xdr:to>
      <xdr:col>8</xdr:col>
      <xdr:colOff>106680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041A8-5485-48DE-AEA9-2CC8B0FAA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5</xdr:row>
      <xdr:rowOff>91440</xdr:rowOff>
    </xdr:from>
    <xdr:to>
      <xdr:col>16</xdr:col>
      <xdr:colOff>426720</xdr:colOff>
      <xdr:row>20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F8633-4479-4FAF-BB56-860351776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Spare PC" refreshedDate="46042.466858796295" createdVersion="8" refreshedVersion="8" minRefreshableVersion="3" recordCount="8" xr:uid="{C079964A-8371-4E24-8B2D-96C637A1D9CF}">
  <cacheSource type="worksheet">
    <worksheetSource ref="A1:I9" sheet="Raw_Data"/>
  </cacheSource>
  <cacheFields count="9">
    <cacheField name="Region" numFmtId="0">
      <sharedItems count="4">
        <s v="North"/>
        <s v="South"/>
        <s v="East"/>
        <s v="West"/>
      </sharedItems>
    </cacheField>
    <cacheField name="Client" numFmtId="0">
      <sharedItems/>
    </cacheField>
    <cacheField name="Quarter" numFmtId="0">
      <sharedItems count="2">
        <s v="Q1"/>
        <s v="Q2"/>
      </sharedItems>
    </cacheField>
    <cacheField name="Sales_Target" numFmtId="0">
      <sharedItems containsSemiMixedTypes="0" containsString="0" containsNumber="1" containsInteger="1" minValue="300000" maxValue="650000"/>
    </cacheField>
    <cacheField name="Actual_Sales" numFmtId="0">
      <sharedItems containsSemiMixedTypes="0" containsString="0" containsNumber="1" containsInteger="1" minValue="310000" maxValue="650000"/>
    </cacheField>
    <cacheField name="Previous_Quarter_Sales" numFmtId="0">
      <sharedItems containsSemiMixedTypes="0" containsString="0" containsNumber="1" containsInteger="1" minValue="290000" maxValue="650000"/>
    </cacheField>
    <cacheField name="Date" numFmtId="14">
      <sharedItems containsSemiMixedTypes="0" containsNonDate="0" containsDate="1" containsString="0" minDate="2025-01-01T00:00:00" maxDate="2025-04-02T00:00:00"/>
    </cacheField>
    <cacheField name="Variance_vs_Target" numFmtId="0">
      <sharedItems containsSemiMixedTypes="0" containsString="0" containsNumber="1" containsInteger="1" minValue="-20000" maxValue="50000"/>
    </cacheField>
    <cacheField name="Variance_vs_Previous" numFmtId="0">
      <sharedItems containsSemiMixedTypes="0" containsString="0" containsNumber="1" containsInteger="1" minValue="-2000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Client A"/>
    <x v="0"/>
    <n v="500000"/>
    <n v="480000"/>
    <n v="450000"/>
    <d v="2025-01-01T00:00:00"/>
    <n v="-20000"/>
    <n v="30000"/>
  </r>
  <r>
    <x v="0"/>
    <s v="Client A"/>
    <x v="1"/>
    <n v="550000"/>
    <n v="600000"/>
    <n v="480000"/>
    <d v="2025-04-01T00:00:00"/>
    <n v="50000"/>
    <n v="120000"/>
  </r>
  <r>
    <x v="1"/>
    <s v="Client B"/>
    <x v="0"/>
    <n v="400000"/>
    <n v="420000"/>
    <n v="390000"/>
    <d v="2025-01-01T00:00:00"/>
    <n v="20000"/>
    <n v="30000"/>
  </r>
  <r>
    <x v="1"/>
    <s v="Client B"/>
    <x v="1"/>
    <n v="450000"/>
    <n v="430000"/>
    <n v="420000"/>
    <d v="2025-04-01T00:00:00"/>
    <n v="-20000"/>
    <n v="10000"/>
  </r>
  <r>
    <x v="2"/>
    <s v="Client C"/>
    <x v="0"/>
    <n v="300000"/>
    <n v="310000"/>
    <n v="290000"/>
    <d v="2025-01-01T00:00:00"/>
    <n v="10000"/>
    <n v="20000"/>
  </r>
  <r>
    <x v="2"/>
    <s v="Client C"/>
    <x v="1"/>
    <n v="350000"/>
    <n v="340000"/>
    <n v="310000"/>
    <d v="2025-04-01T00:00:00"/>
    <n v="-10000"/>
    <n v="30000"/>
  </r>
  <r>
    <x v="3"/>
    <s v="Client D"/>
    <x v="0"/>
    <n v="600000"/>
    <n v="650000"/>
    <n v="620000"/>
    <d v="2025-01-01T00:00:00"/>
    <n v="50000"/>
    <n v="30000"/>
  </r>
  <r>
    <x v="3"/>
    <s v="Client D"/>
    <x v="1"/>
    <n v="650000"/>
    <n v="630000"/>
    <n v="650000"/>
    <d v="2025-04-01T00:00:00"/>
    <n v="-20000"/>
    <n v="-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C0A1B-239C-476C-AEE4-1AB5CF23ED1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F8" firstHeaderRow="0" firstDataRow="1" firstDataCol="1"/>
  <pivotFields count="9"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numFmtId="14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Sales" fld="4" baseField="0" baseItem="0"/>
    <dataField name="Sum of Sales_Target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FACF9-FC50-40F6-B90A-90300BA7E84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2:F5" firstHeaderRow="0" firstDataRow="1" firstDataCol="1"/>
  <pivotFields count="9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numFmtId="14"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Sales" fld="4" baseField="0" baseItem="0"/>
    <dataField name="Sum of Variance_vs_Target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645C-06BF-4781-A683-052964458DBC}">
  <dimension ref="D3:F8"/>
  <sheetViews>
    <sheetView tabSelected="1" workbookViewId="0">
      <selection activeCell="F3" sqref="F3"/>
    </sheetView>
  </sheetViews>
  <sheetFormatPr defaultRowHeight="14.4" x14ac:dyDescent="0.3"/>
  <cols>
    <col min="1" max="1" width="12.44140625" bestFit="1" customWidth="1"/>
    <col min="2" max="2" width="17.88671875" bestFit="1" customWidth="1"/>
    <col min="3" max="3" width="17.6640625" bestFit="1" customWidth="1"/>
    <col min="4" max="4" width="12.44140625" bestFit="1" customWidth="1"/>
    <col min="5" max="5" width="17.88671875" bestFit="1" customWidth="1"/>
    <col min="6" max="6" width="17.6640625" bestFit="1" customWidth="1"/>
  </cols>
  <sheetData>
    <row r="3" spans="4:6" x14ac:dyDescent="0.3">
      <c r="D3" s="5" t="s">
        <v>19</v>
      </c>
      <c r="E3" t="s">
        <v>21</v>
      </c>
      <c r="F3" t="s">
        <v>22</v>
      </c>
    </row>
    <row r="4" spans="4:6" x14ac:dyDescent="0.3">
      <c r="D4" s="6" t="s">
        <v>11</v>
      </c>
      <c r="E4" s="7">
        <v>650000</v>
      </c>
      <c r="F4" s="7">
        <v>650000</v>
      </c>
    </row>
    <row r="5" spans="4:6" x14ac:dyDescent="0.3">
      <c r="D5" s="6" t="s">
        <v>7</v>
      </c>
      <c r="E5" s="7">
        <v>1080000</v>
      </c>
      <c r="F5" s="7">
        <v>1050000</v>
      </c>
    </row>
    <row r="6" spans="4:6" x14ac:dyDescent="0.3">
      <c r="D6" s="6" t="s">
        <v>10</v>
      </c>
      <c r="E6" s="7">
        <v>850000</v>
      </c>
      <c r="F6" s="7">
        <v>850000</v>
      </c>
    </row>
    <row r="7" spans="4:6" x14ac:dyDescent="0.3">
      <c r="D7" s="6" t="s">
        <v>12</v>
      </c>
      <c r="E7" s="7">
        <v>1280000</v>
      </c>
      <c r="F7" s="7">
        <v>1250000</v>
      </c>
    </row>
    <row r="8" spans="4:6" x14ac:dyDescent="0.3">
      <c r="D8" s="6" t="s">
        <v>20</v>
      </c>
      <c r="E8" s="7">
        <v>3860000</v>
      </c>
      <c r="F8" s="7">
        <v>3800000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947A-1569-47DB-B1F4-110F1E8FE7A5}">
  <dimension ref="D2:F5"/>
  <sheetViews>
    <sheetView workbookViewId="0">
      <selection activeCell="F3" sqref="F3"/>
    </sheetView>
  </sheetViews>
  <sheetFormatPr defaultRowHeight="14.4" x14ac:dyDescent="0.3"/>
  <cols>
    <col min="1" max="1" width="12.44140625" bestFit="1" customWidth="1"/>
    <col min="2" max="2" width="17.88671875" bestFit="1" customWidth="1"/>
    <col min="3" max="3" width="23.109375" bestFit="1" customWidth="1"/>
    <col min="4" max="4" width="12.44140625" bestFit="1" customWidth="1"/>
    <col min="5" max="5" width="17.88671875" bestFit="1" customWidth="1"/>
    <col min="6" max="6" width="23.109375" bestFit="1" customWidth="1"/>
  </cols>
  <sheetData>
    <row r="2" spans="4:6" x14ac:dyDescent="0.3">
      <c r="D2" s="5" t="s">
        <v>19</v>
      </c>
      <c r="E2" t="s">
        <v>21</v>
      </c>
      <c r="F2" t="s">
        <v>23</v>
      </c>
    </row>
    <row r="3" spans="4:6" x14ac:dyDescent="0.3">
      <c r="D3" s="6" t="s">
        <v>9</v>
      </c>
      <c r="E3" s="7">
        <v>1860000</v>
      </c>
      <c r="F3" s="7">
        <v>60000</v>
      </c>
    </row>
    <row r="4" spans="4:6" x14ac:dyDescent="0.3">
      <c r="D4" s="6" t="s">
        <v>16</v>
      </c>
      <c r="E4" s="7">
        <v>2000000</v>
      </c>
      <c r="F4" s="7">
        <v>0</v>
      </c>
    </row>
    <row r="5" spans="4:6" x14ac:dyDescent="0.3">
      <c r="D5" s="6" t="s">
        <v>20</v>
      </c>
      <c r="E5" s="7">
        <v>3860000</v>
      </c>
      <c r="F5" s="7">
        <v>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6DA7-CA81-4423-B6A4-864328C90897}">
  <dimension ref="F2:J2"/>
  <sheetViews>
    <sheetView workbookViewId="0">
      <selection activeCell="V11" sqref="V11"/>
    </sheetView>
  </sheetViews>
  <sheetFormatPr defaultRowHeight="14.4" x14ac:dyDescent="0.3"/>
  <sheetData>
    <row r="2" spans="6:10" x14ac:dyDescent="0.3">
      <c r="F2" s="9"/>
      <c r="G2" s="9"/>
      <c r="H2" s="8" t="s">
        <v>24</v>
      </c>
      <c r="I2" s="9"/>
      <c r="J2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8558-8FDD-4BE0-B196-C7CD4067148A}">
  <dimension ref="A1:I14"/>
  <sheetViews>
    <sheetView workbookViewId="0">
      <selection activeCell="I16" sqref="I16"/>
    </sheetView>
  </sheetViews>
  <sheetFormatPr defaultRowHeight="14.4" x14ac:dyDescent="0.3"/>
  <cols>
    <col min="1" max="1" width="6.44140625" bestFit="1" customWidth="1"/>
    <col min="2" max="3" width="7.21875" bestFit="1" customWidth="1"/>
    <col min="4" max="4" width="11.109375" bestFit="1" customWidth="1"/>
    <col min="5" max="5" width="11.21875" bestFit="1" customWidth="1"/>
    <col min="6" max="6" width="20.21875" bestFit="1" customWidth="1"/>
    <col min="7" max="7" width="10.33203125" bestFit="1" customWidth="1"/>
    <col min="8" max="8" width="16.88671875" bestFit="1" customWidth="1"/>
    <col min="9" max="9" width="19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17</v>
      </c>
      <c r="I1" s="4" t="s">
        <v>18</v>
      </c>
    </row>
    <row r="2" spans="1:9" x14ac:dyDescent="0.3">
      <c r="A2" s="2" t="s">
        <v>7</v>
      </c>
      <c r="B2" s="2" t="s">
        <v>8</v>
      </c>
      <c r="C2" s="2" t="s">
        <v>9</v>
      </c>
      <c r="D2" s="2">
        <v>500000</v>
      </c>
      <c r="E2" s="2">
        <v>480000</v>
      </c>
      <c r="F2" s="2">
        <v>450000</v>
      </c>
      <c r="G2" s="3">
        <v>45658</v>
      </c>
      <c r="H2" s="2">
        <f>E2-D2</f>
        <v>-20000</v>
      </c>
      <c r="I2" s="2">
        <f>E2-F2</f>
        <v>30000</v>
      </c>
    </row>
    <row r="3" spans="1:9" x14ac:dyDescent="0.3">
      <c r="A3" s="2" t="s">
        <v>7</v>
      </c>
      <c r="B3" s="2" t="s">
        <v>8</v>
      </c>
      <c r="C3" s="2" t="s">
        <v>16</v>
      </c>
      <c r="D3" s="2">
        <v>550000</v>
      </c>
      <c r="E3" s="2">
        <v>600000</v>
      </c>
      <c r="F3" s="2">
        <v>480000</v>
      </c>
      <c r="G3" s="3">
        <v>45748</v>
      </c>
      <c r="H3" s="2">
        <f t="shared" ref="H3:H9" si="0">E3-D3</f>
        <v>50000</v>
      </c>
      <c r="I3" s="2">
        <f t="shared" ref="I3:I9" si="1">E3-F3</f>
        <v>120000</v>
      </c>
    </row>
    <row r="4" spans="1:9" x14ac:dyDescent="0.3">
      <c r="A4" s="2" t="s">
        <v>10</v>
      </c>
      <c r="B4" s="2" t="s">
        <v>13</v>
      </c>
      <c r="C4" s="2" t="s">
        <v>9</v>
      </c>
      <c r="D4" s="2">
        <v>400000</v>
      </c>
      <c r="E4" s="2">
        <v>420000</v>
      </c>
      <c r="F4" s="2">
        <v>390000</v>
      </c>
      <c r="G4" s="3">
        <v>45658</v>
      </c>
      <c r="H4" s="2">
        <f t="shared" si="0"/>
        <v>20000</v>
      </c>
      <c r="I4" s="2">
        <f t="shared" si="1"/>
        <v>30000</v>
      </c>
    </row>
    <row r="5" spans="1:9" x14ac:dyDescent="0.3">
      <c r="A5" s="2" t="s">
        <v>10</v>
      </c>
      <c r="B5" s="2" t="s">
        <v>13</v>
      </c>
      <c r="C5" s="2" t="s">
        <v>16</v>
      </c>
      <c r="D5" s="2">
        <v>450000</v>
      </c>
      <c r="E5" s="2">
        <v>430000</v>
      </c>
      <c r="F5" s="2">
        <v>420000</v>
      </c>
      <c r="G5" s="3">
        <v>45748</v>
      </c>
      <c r="H5" s="2">
        <f t="shared" si="0"/>
        <v>-20000</v>
      </c>
      <c r="I5" s="2">
        <f t="shared" si="1"/>
        <v>10000</v>
      </c>
    </row>
    <row r="6" spans="1:9" x14ac:dyDescent="0.3">
      <c r="A6" s="2" t="s">
        <v>11</v>
      </c>
      <c r="B6" s="2" t="s">
        <v>14</v>
      </c>
      <c r="C6" s="2" t="s">
        <v>9</v>
      </c>
      <c r="D6" s="2">
        <v>300000</v>
      </c>
      <c r="E6" s="2">
        <v>310000</v>
      </c>
      <c r="F6" s="2">
        <v>290000</v>
      </c>
      <c r="G6" s="3">
        <v>45658</v>
      </c>
      <c r="H6" s="2">
        <f t="shared" si="0"/>
        <v>10000</v>
      </c>
      <c r="I6" s="2">
        <f t="shared" si="1"/>
        <v>20000</v>
      </c>
    </row>
    <row r="7" spans="1:9" x14ac:dyDescent="0.3">
      <c r="A7" s="2" t="s">
        <v>11</v>
      </c>
      <c r="B7" s="2" t="s">
        <v>14</v>
      </c>
      <c r="C7" s="2" t="s">
        <v>16</v>
      </c>
      <c r="D7" s="2">
        <v>350000</v>
      </c>
      <c r="E7" s="2">
        <v>340000</v>
      </c>
      <c r="F7" s="2">
        <v>310000</v>
      </c>
      <c r="G7" s="3">
        <v>45748</v>
      </c>
      <c r="H7" s="2">
        <f t="shared" si="0"/>
        <v>-10000</v>
      </c>
      <c r="I7" s="2">
        <f t="shared" si="1"/>
        <v>30000</v>
      </c>
    </row>
    <row r="8" spans="1:9" x14ac:dyDescent="0.3">
      <c r="A8" s="2" t="s">
        <v>12</v>
      </c>
      <c r="B8" s="2" t="s">
        <v>15</v>
      </c>
      <c r="C8" s="2" t="s">
        <v>9</v>
      </c>
      <c r="D8" s="2">
        <v>600000</v>
      </c>
      <c r="E8" s="2">
        <v>650000</v>
      </c>
      <c r="F8" s="2">
        <v>620000</v>
      </c>
      <c r="G8" s="3">
        <v>45658</v>
      </c>
      <c r="H8" s="2">
        <f t="shared" si="0"/>
        <v>50000</v>
      </c>
      <c r="I8" s="2">
        <f t="shared" si="1"/>
        <v>30000</v>
      </c>
    </row>
    <row r="9" spans="1:9" x14ac:dyDescent="0.3">
      <c r="A9" s="2" t="s">
        <v>12</v>
      </c>
      <c r="B9" s="2" t="s">
        <v>15</v>
      </c>
      <c r="C9" s="2" t="s">
        <v>16</v>
      </c>
      <c r="D9" s="2">
        <v>650000</v>
      </c>
      <c r="E9" s="2">
        <v>630000</v>
      </c>
      <c r="F9" s="2">
        <v>650000</v>
      </c>
      <c r="G9" s="3">
        <v>45748</v>
      </c>
      <c r="H9" s="2">
        <f t="shared" si="0"/>
        <v>-20000</v>
      </c>
      <c r="I9" s="2">
        <f t="shared" si="1"/>
        <v>-20000</v>
      </c>
    </row>
    <row r="10" spans="1:9" x14ac:dyDescent="0.3">
      <c r="C10" s="1"/>
    </row>
    <row r="11" spans="1:9" x14ac:dyDescent="0.3">
      <c r="C11" s="1"/>
    </row>
    <row r="12" spans="1:9" x14ac:dyDescent="0.3">
      <c r="C12" s="1"/>
    </row>
    <row r="13" spans="1:9" x14ac:dyDescent="0.3">
      <c r="C13" s="1"/>
    </row>
    <row r="14" spans="1:9" x14ac:dyDescent="0.3">
      <c r="C14" s="1"/>
    </row>
  </sheetData>
  <conditionalFormatting sqref="H2:H9 H537:H1048576">
    <cfRule type="cellIs" dxfId="1" priority="1" operator="lessThanOrEqual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Pivot_Region</vt:lpstr>
      <vt:lpstr>Pivot_Quarter</vt:lpstr>
      <vt:lpstr>Dashboard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Venkatesh</dc:creator>
  <cp:lastModifiedBy>Ajay Venkatesh</cp:lastModifiedBy>
  <dcterms:created xsi:type="dcterms:W3CDTF">2026-01-19T12:26:53Z</dcterms:created>
  <dcterms:modified xsi:type="dcterms:W3CDTF">2026-01-20T06:00:13Z</dcterms:modified>
</cp:coreProperties>
</file>